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;&quot;-&quot;"/>
    <numFmt numFmtId="166" formatCode="0.00%;(0.00%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D700"/>
      <sz val="14"/>
    </font>
    <font>
      <name val="Arial"/>
      <b val="1"/>
      <color rgb="00FFD700"/>
      <sz val="9"/>
    </font>
    <font>
      <name val="Arial"/>
      <b val="1"/>
      <color rgb="00FFD700"/>
      <sz val="10"/>
    </font>
    <font>
      <name val="Arial"/>
      <color rgb="00FFFFFF"/>
      <sz val="10"/>
    </font>
    <font>
      <name val="Arial"/>
      <b val="1"/>
      <color rgb="001E1E2E"/>
      <sz val="11"/>
    </font>
    <font>
      <name val="Arial"/>
      <b val="1"/>
      <color rgb="005B9BD5"/>
      <sz val="10"/>
    </font>
    <font>
      <name val="Arial"/>
      <b val="1"/>
      <sz val="10"/>
    </font>
    <font>
      <name val="Arial"/>
      <b val="1"/>
      <color rgb="001E1E2E"/>
      <sz val="10"/>
    </font>
    <font>
      <name val="Arial"/>
      <b val="1"/>
      <color rgb="005B9BD5"/>
      <sz val="11"/>
    </font>
    <font>
      <name val="Arial"/>
      <b val="1"/>
      <color rgb="0000C896"/>
      <sz val="10"/>
    </font>
    <font>
      <name val="Arial"/>
      <b val="1"/>
      <color rgb="0000C896"/>
      <sz val="11"/>
    </font>
    <font>
      <name val="Arial"/>
      <b val="1"/>
      <color rgb="00FF5C5C"/>
      <sz val="10"/>
    </font>
    <font>
      <name val="Arial"/>
      <b val="1"/>
      <color rgb="00FF5C5C"/>
      <sz val="11"/>
    </font>
    <font>
      <name val="Arial"/>
      <b val="1"/>
      <color rgb="00FFD700"/>
      <sz val="11"/>
    </font>
  </fonts>
  <fills count="9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A2D3E"/>
      </patternFill>
    </fill>
    <fill>
      <patternFill patternType="solid">
        <fgColor rgb="001E2035"/>
      </patternFill>
    </fill>
    <fill>
      <patternFill patternType="solid">
        <fgColor rgb="00252840"/>
      </patternFill>
    </fill>
    <fill>
      <patternFill patternType="solid">
        <fgColor rgb="00FFD700"/>
      </patternFill>
    </fill>
    <fill>
      <patternFill patternType="solid">
        <fgColor rgb="00FFA500"/>
      </patternFill>
    </fill>
    <fill>
      <patternFill patternType="solid">
        <fgColor rgb="00343650"/>
      </patternFill>
    </fill>
  </fills>
  <borders count="3">
    <border>
      <left/>
      <right/>
      <top/>
      <bottom/>
      <diagonal/>
    </border>
    <border>
      <left style="medium">
        <color rgb="005B5B8A"/>
      </left>
      <right style="medium">
        <color rgb="005B5B8A"/>
      </right>
      <top style="medium">
        <color rgb="005B5B8A"/>
      </top>
      <bottom style="medium">
        <color rgb="005B5B8A"/>
      </bottom>
    </border>
    <border>
      <left style="thin">
        <color rgb="00404060"/>
      </left>
      <right style="thin">
        <color rgb="00404060"/>
      </right>
      <top style="thin">
        <color rgb="00404060"/>
      </top>
      <bottom style="thin">
        <color rgb="0040406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166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2" pivotButton="0" quotePrefix="0" xfId="0"/>
    <xf numFmtId="165" fontId="6" fillId="5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166" fontId="7" fillId="5" borderId="2" applyAlignment="1" pivotButton="0" quotePrefix="0" xfId="0">
      <alignment horizontal="right" vertical="center"/>
    </xf>
    <xf numFmtId="0" fontId="0" fillId="4" borderId="2" pivotButton="0" quotePrefix="0" xfId="0"/>
    <xf numFmtId="165" fontId="6" fillId="4" borderId="2" applyAlignment="1" pivotButton="0" quotePrefix="0" xfId="0">
      <alignment horizontal="right" vertical="center"/>
    </xf>
    <xf numFmtId="165" fontId="7" fillId="4" borderId="2" applyAlignment="1" pivotButton="0" quotePrefix="0" xfId="0">
      <alignment horizontal="right" vertical="center"/>
    </xf>
    <xf numFmtId="166" fontId="7" fillId="4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0" fillId="7" borderId="1" pivotButton="0" quotePrefix="0" xfId="0"/>
    <xf numFmtId="165" fontId="8" fillId="7" borderId="1" applyAlignment="1" pivotButton="0" quotePrefix="0" xfId="0">
      <alignment horizontal="right" vertical="center"/>
    </xf>
    <xf numFmtId="166" fontId="8" fillId="7" borderId="1" applyAlignment="1" pivotButton="0" quotePrefix="0" xfId="0">
      <alignment horizontal="right" vertical="center"/>
    </xf>
    <xf numFmtId="0" fontId="6" fillId="8" borderId="2" applyAlignment="1" pivotButton="0" quotePrefix="0" xfId="0">
      <alignment horizontal="right" vertical="center"/>
    </xf>
    <xf numFmtId="165" fontId="9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10" fillId="8" borderId="2" applyAlignment="1" pivotButton="0" quotePrefix="0" xfId="0">
      <alignment horizontal="right" vertical="center"/>
    </xf>
    <xf numFmtId="165" fontId="11" fillId="8" borderId="2" applyAlignment="1" pivotButton="0" quotePrefix="0" xfId="0">
      <alignment horizontal="right" vertical="center"/>
    </xf>
    <xf numFmtId="0" fontId="12" fillId="8" borderId="2" applyAlignment="1" pivotButton="0" quotePrefix="0" xfId="0">
      <alignment horizontal="right" vertical="center"/>
    </xf>
    <xf numFmtId="165" fontId="13" fillId="8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right" vertical="center"/>
    </xf>
    <xf numFmtId="165" fontId="14" fillId="8" borderId="2" applyAlignment="1" pivotButton="0" quotePrefix="0" xfId="0">
      <alignment horizontal="right" vertical="center"/>
    </xf>
    <xf numFmtId="166" fontId="14" fillId="8" borderId="2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Arial"/>
        <b val="1"/>
        <color rgb="0000C896"/>
        <sz val="10"/>
      </font>
      <fill>
        <patternFill patternType="solid">
          <fgColor rgb="001A3A2A"/>
          <bgColor rgb="001A3A2A"/>
        </patternFill>
      </fill>
    </dxf>
    <dxf>
      <font>
        <name val="Arial"/>
        <b val="1"/>
        <color rgb="00FF5C5C"/>
        <sz val="10"/>
      </font>
      <fill>
        <patternFill patternType="solid">
          <fgColor rgb="003A1A1A"/>
          <bgColor rgb="003A1A1A"/>
        </patternFill>
      </fill>
    </dxf>
    <dxf>
      <font>
        <name val="Arial"/>
        <color rgb="00C0C0C0"/>
        <sz val="10"/>
      </font>
      <fill>
        <patternFill patternType="solid">
          <fgColor rgb="001A2A3A"/>
          <bgColor rgb="001A2A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96"/>
    <outlinePr summaryBelow="1" summaryRight="1"/>
    <pageSetUpPr/>
  </sheetPr>
  <dimension ref="A1:L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8" customWidth="1" min="4" max="4"/>
    <col width="14" customWidth="1" min="5" max="5"/>
    <col width="13" customWidth="1" min="6" max="6"/>
    <col width="13" customWidth="1" min="7" max="7"/>
    <col width="14" customWidth="1" min="8" max="8"/>
    <col width="15" customWidth="1" min="9" max="9"/>
    <col width="13" customWidth="1" min="10" max="10"/>
    <col width="11" customWidth="1" min="11" max="11"/>
  </cols>
  <sheetData>
    <row r="1" ht="32" customHeight="1">
      <c r="A1" s="1" t="inlineStr">
        <is>
          <t>CONTROLE DE CARTEIRA DE INVESTIMENTOS</t>
        </is>
      </c>
    </row>
    <row r="2" ht="30" customHeight="1">
      <c r="A2" s="2" t="inlineStr">
        <is>
          <t>ATIVO</t>
        </is>
      </c>
      <c r="B2" s="2" t="inlineStr">
        <is>
          <t>DATA
COMPRA</t>
        </is>
      </c>
      <c r="C2" s="2" t="inlineStr">
        <is>
          <t>PRECO
COMPRA</t>
        </is>
      </c>
      <c r="D2" s="2" t="inlineStr">
        <is>
          <t>QTD</t>
        </is>
      </c>
      <c r="E2" s="2" t="inlineStr">
        <is>
          <t>TOTAL
INVESTIDO</t>
        </is>
      </c>
      <c r="F2" s="2" t="inlineStr">
        <is>
          <t>DATA
VENDA</t>
        </is>
      </c>
      <c r="G2" s="2" t="inlineStr">
        <is>
          <t>PRECO
VENDA</t>
        </is>
      </c>
      <c r="H2" s="2" t="inlineStr">
        <is>
          <t>TOTAL
VENDA</t>
        </is>
      </c>
      <c r="I2" s="2" t="inlineStr">
        <is>
          <t>RESULTADO
R$</t>
        </is>
      </c>
      <c r="J2" s="2" t="inlineStr">
        <is>
          <t>RESULTADO
%</t>
        </is>
      </c>
      <c r="K2" s="2" t="inlineStr">
        <is>
          <t>STATUS</t>
        </is>
      </c>
    </row>
    <row r="3" ht="20" customHeight="1">
      <c r="A3" s="3" t="inlineStr">
        <is>
          <t>MU</t>
        </is>
      </c>
      <c r="B3" s="4" t="inlineStr">
        <is>
          <t>2026-01-15</t>
        </is>
      </c>
      <c r="C3" s="5" t="n">
        <v>865</v>
      </c>
      <c r="D3" s="6" t="n">
        <v>10</v>
      </c>
      <c r="E3" s="5">
        <f>IF(C3&lt;&gt;"",C3*D3,"")</f>
        <v/>
      </c>
      <c r="F3" s="4" t="inlineStr">
        <is>
          <t>2026-03-20</t>
        </is>
      </c>
      <c r="G3" s="5" t="n">
        <v>920</v>
      </c>
      <c r="H3" s="5">
        <f>IF(G3&lt;&gt;"",G3*D3,"")</f>
        <v/>
      </c>
      <c r="I3" s="5">
        <f>IF(H3&lt;&gt;"",H3-E3,"")</f>
        <v/>
      </c>
      <c r="J3" s="7">
        <f>IF(AND(H3&lt;&gt;"",E3&lt;&gt;0),(H3-E3)/E3,"")</f>
        <v/>
      </c>
      <c r="K3" s="8">
        <f>IF(F3&lt;&gt;"","Fechada","Aberta")</f>
        <v/>
      </c>
    </row>
    <row r="4" ht="20" customHeight="1">
      <c r="A4" s="9" t="inlineStr">
        <is>
          <t>AAPL</t>
        </is>
      </c>
      <c r="B4" s="10" t="inlineStr">
        <is>
          <t>2026-01-15</t>
        </is>
      </c>
      <c r="C4" s="11" t="n">
        <v>220.5</v>
      </c>
      <c r="D4" s="12" t="n">
        <v>5</v>
      </c>
      <c r="E4" s="11">
        <f>IF(C4&lt;&gt;"",C4*D4,"")</f>
        <v/>
      </c>
      <c r="F4" s="10" t="inlineStr">
        <is>
          <t>2026-03-20</t>
        </is>
      </c>
      <c r="G4" s="11" t="n">
        <v>240</v>
      </c>
      <c r="H4" s="11">
        <f>IF(G4&lt;&gt;"",G4*D4,"")</f>
        <v/>
      </c>
      <c r="I4" s="11">
        <f>IF(H4&lt;&gt;"",H4-E4,"")</f>
        <v/>
      </c>
      <c r="J4" s="13">
        <f>IF(AND(H4&lt;&gt;"",E4&lt;&gt;0),(H4-E4)/E4,"")</f>
        <v/>
      </c>
      <c r="K4" s="14">
        <f>IF(F4&lt;&gt;"","Fechada","Aberta")</f>
        <v/>
      </c>
    </row>
    <row r="5" ht="20" customHeight="1">
      <c r="A5" s="3" t="inlineStr">
        <is>
          <t>TSLA</t>
        </is>
      </c>
      <c r="B5" s="4" t="inlineStr">
        <is>
          <t>2026-02-10</t>
        </is>
      </c>
      <c r="C5" s="5" t="n">
        <v>180</v>
      </c>
      <c r="D5" s="6" t="n">
        <v>8</v>
      </c>
      <c r="E5" s="5">
        <f>IF(C5&lt;&gt;"",C5*D5,"")</f>
        <v/>
      </c>
      <c r="F5" s="4" t="inlineStr">
        <is>
          <t>2026-04-05</t>
        </is>
      </c>
      <c r="G5" s="5" t="n">
        <v>155</v>
      </c>
      <c r="H5" s="5">
        <f>IF(G5&lt;&gt;"",G5*D5,"")</f>
        <v/>
      </c>
      <c r="I5" s="5">
        <f>IF(H5&lt;&gt;"",H5-E5,"")</f>
        <v/>
      </c>
      <c r="J5" s="7">
        <f>IF(AND(H5&lt;&gt;"",E5&lt;&gt;0),(H5-E5)/E5,"")</f>
        <v/>
      </c>
      <c r="K5" s="8">
        <f>IF(F5&lt;&gt;"","Fechada","Aberta")</f>
        <v/>
      </c>
    </row>
    <row r="6" ht="20" customHeight="1">
      <c r="A6" s="9" t="inlineStr">
        <is>
          <t>NVDA</t>
        </is>
      </c>
      <c r="B6" s="10" t="inlineStr">
        <is>
          <t>2026-02-10</t>
        </is>
      </c>
      <c r="C6" s="11" t="n">
        <v>850</v>
      </c>
      <c r="D6" s="12" t="n">
        <v>3</v>
      </c>
      <c r="E6" s="11">
        <f>IF(C6&lt;&gt;"",C6*D6,"")</f>
        <v/>
      </c>
      <c r="F6" s="14" t="n"/>
      <c r="G6" s="11" t="n"/>
      <c r="H6" s="11">
        <f>IF(G6&lt;&gt;"",G6*D6,"")</f>
        <v/>
      </c>
      <c r="I6" s="11">
        <f>IF(H6&lt;&gt;"",H6-E6,"")</f>
        <v/>
      </c>
      <c r="J6" s="13">
        <f>IF(AND(H6&lt;&gt;"",E6&lt;&gt;0),(H6-E6)/E6,"")</f>
        <v/>
      </c>
      <c r="K6" s="14">
        <f>IF(F6&lt;&gt;"","Fechada","Aberta")</f>
        <v/>
      </c>
    </row>
    <row r="7" ht="20" customHeight="1">
      <c r="A7" s="3" t="inlineStr">
        <is>
          <t>MSFT</t>
        </is>
      </c>
      <c r="B7" s="4" t="inlineStr">
        <is>
          <t>2026-03-01</t>
        </is>
      </c>
      <c r="C7" s="5" t="n">
        <v>380</v>
      </c>
      <c r="D7" s="6" t="n">
        <v>4</v>
      </c>
      <c r="E7" s="5">
        <f>IF(C7&lt;&gt;"",C7*D7,"")</f>
        <v/>
      </c>
      <c r="F7" s="8" t="n"/>
      <c r="G7" s="5" t="n"/>
      <c r="H7" s="5">
        <f>IF(G7&lt;&gt;"",G7*D7,"")</f>
        <v/>
      </c>
      <c r="I7" s="5">
        <f>IF(H7&lt;&gt;"",H7-E7,"")</f>
        <v/>
      </c>
      <c r="J7" s="7">
        <f>IF(AND(H7&lt;&gt;"",E7&lt;&gt;0),(H7-E7)/E7,"")</f>
        <v/>
      </c>
      <c r="K7" s="8">
        <f>IF(F7&lt;&gt;"","Fechada","Aberta")</f>
        <v/>
      </c>
    </row>
    <row r="8" ht="20" customHeight="1">
      <c r="A8" s="14" t="n"/>
      <c r="B8" s="14" t="n"/>
      <c r="C8" s="12" t="n"/>
      <c r="D8" s="12" t="n"/>
      <c r="E8" s="11">
        <f>IF(C8&lt;&gt;"",C8*D8,"")</f>
        <v/>
      </c>
      <c r="F8" s="14" t="n"/>
      <c r="G8" s="11" t="n"/>
      <c r="H8" s="11">
        <f>IF(G8&lt;&gt;"",G8*D8,"")</f>
        <v/>
      </c>
      <c r="I8" s="11">
        <f>IF(H8&lt;&gt;"",H8-E8,"")</f>
        <v/>
      </c>
      <c r="J8" s="13">
        <f>IF(AND(H8&lt;&gt;"",E8&lt;&gt;0),(H8-E8)/E8,"")</f>
        <v/>
      </c>
      <c r="K8" s="14">
        <f>IF(F8&lt;&gt;"","Fechada","Aberta")</f>
        <v/>
      </c>
    </row>
    <row r="9" ht="20" customHeight="1">
      <c r="A9" s="8" t="n"/>
      <c r="B9" s="8" t="n"/>
      <c r="C9" s="6" t="n"/>
      <c r="D9" s="6" t="n"/>
      <c r="E9" s="5">
        <f>IF(C9&lt;&gt;"",C9*D9,"")</f>
        <v/>
      </c>
      <c r="F9" s="8" t="n"/>
      <c r="G9" s="5" t="n"/>
      <c r="H9" s="5">
        <f>IF(G9&lt;&gt;"",G9*D9,"")</f>
        <v/>
      </c>
      <c r="I9" s="5">
        <f>IF(H9&lt;&gt;"",H9-E9,"")</f>
        <v/>
      </c>
      <c r="J9" s="7">
        <f>IF(AND(H9&lt;&gt;"",E9&lt;&gt;0),(H9-E9)/E9,"")</f>
        <v/>
      </c>
      <c r="K9" s="8">
        <f>IF(F9&lt;&gt;"","Fechada","Aberta")</f>
        <v/>
      </c>
    </row>
    <row r="10" ht="20" customHeight="1">
      <c r="A10" s="14" t="n"/>
      <c r="B10" s="14" t="n"/>
      <c r="C10" s="12" t="n"/>
      <c r="D10" s="12" t="n"/>
      <c r="E10" s="11">
        <f>IF(C10&lt;&gt;"",C10*D10,"")</f>
        <v/>
      </c>
      <c r="F10" s="14" t="n"/>
      <c r="G10" s="11" t="n"/>
      <c r="H10" s="11">
        <f>IF(G10&lt;&gt;"",G10*D10,"")</f>
        <v/>
      </c>
      <c r="I10" s="11">
        <f>IF(H10&lt;&gt;"",H10-E10,"")</f>
        <v/>
      </c>
      <c r="J10" s="13">
        <f>IF(AND(H10&lt;&gt;"",E10&lt;&gt;0),(H10-E10)/E10,"")</f>
        <v/>
      </c>
      <c r="K10" s="14">
        <f>IF(F10&lt;&gt;"","Fechada","Aberta")</f>
        <v/>
      </c>
    </row>
    <row r="11" ht="20" customHeight="1">
      <c r="A11" s="8" t="n"/>
      <c r="B11" s="8" t="n"/>
      <c r="C11" s="6" t="n"/>
      <c r="D11" s="6" t="n"/>
      <c r="E11" s="5">
        <f>IF(C11&lt;&gt;"",C11*D11,"")</f>
        <v/>
      </c>
      <c r="F11" s="8" t="n"/>
      <c r="G11" s="5" t="n"/>
      <c r="H11" s="5">
        <f>IF(G11&lt;&gt;"",G11*D11,"")</f>
        <v/>
      </c>
      <c r="I11" s="5">
        <f>IF(H11&lt;&gt;"",H11-E11,"")</f>
        <v/>
      </c>
      <c r="J11" s="7">
        <f>IF(AND(H11&lt;&gt;"",E11&lt;&gt;0),(H11-E11)/E11,"")</f>
        <v/>
      </c>
      <c r="K11" s="8">
        <f>IF(F11&lt;&gt;"","Fechada","Aberta")</f>
        <v/>
      </c>
    </row>
    <row r="12" ht="20" customHeight="1">
      <c r="A12" s="14" t="n"/>
      <c r="B12" s="14" t="n"/>
      <c r="C12" s="12" t="n"/>
      <c r="D12" s="12" t="n"/>
      <c r="E12" s="11">
        <f>IF(C12&lt;&gt;"",C12*D12,"")</f>
        <v/>
      </c>
      <c r="F12" s="14" t="n"/>
      <c r="G12" s="11" t="n"/>
      <c r="H12" s="11">
        <f>IF(G12&lt;&gt;"",G12*D12,"")</f>
        <v/>
      </c>
      <c r="I12" s="11">
        <f>IF(H12&lt;&gt;"",H12-E12,"")</f>
        <v/>
      </c>
      <c r="J12" s="13">
        <f>IF(AND(H12&lt;&gt;"",E12&lt;&gt;0),(H12-E12)/E12,"")</f>
        <v/>
      </c>
      <c r="K12" s="14">
        <f>IF(F12&lt;&gt;"","Fechada","Aberta")</f>
        <v/>
      </c>
    </row>
    <row r="13" ht="20" customHeight="1">
      <c r="A13" s="8" t="n"/>
      <c r="B13" s="8" t="n"/>
      <c r="C13" s="6" t="n"/>
      <c r="D13" s="6" t="n"/>
      <c r="E13" s="5">
        <f>IF(C13&lt;&gt;"",C13*D13,"")</f>
        <v/>
      </c>
      <c r="F13" s="8" t="n"/>
      <c r="G13" s="5" t="n"/>
      <c r="H13" s="5">
        <f>IF(G13&lt;&gt;"",G13*D13,"")</f>
        <v/>
      </c>
      <c r="I13" s="5">
        <f>IF(H13&lt;&gt;"",H13-E13,"")</f>
        <v/>
      </c>
      <c r="J13" s="7">
        <f>IF(AND(H13&lt;&gt;"",E13&lt;&gt;0),(H13-E13)/E13,"")</f>
        <v/>
      </c>
      <c r="K13" s="8">
        <f>IF(F13&lt;&gt;"","Fechada","Aberta")</f>
        <v/>
      </c>
    </row>
    <row r="14" ht="20" customHeight="1">
      <c r="A14" s="14" t="n"/>
      <c r="B14" s="14" t="n"/>
      <c r="C14" s="12" t="n"/>
      <c r="D14" s="12" t="n"/>
      <c r="E14" s="11">
        <f>IF(C14&lt;&gt;"",C14*D14,"")</f>
        <v/>
      </c>
      <c r="F14" s="14" t="n"/>
      <c r="G14" s="11" t="n"/>
      <c r="H14" s="11">
        <f>IF(G14&lt;&gt;"",G14*D14,"")</f>
        <v/>
      </c>
      <c r="I14" s="11">
        <f>IF(H14&lt;&gt;"",H14-E14,"")</f>
        <v/>
      </c>
      <c r="J14" s="13">
        <f>IF(AND(H14&lt;&gt;"",E14&lt;&gt;0),(H14-E14)/E14,"")</f>
        <v/>
      </c>
      <c r="K14" s="14">
        <f>IF(F14&lt;&gt;"","Fechada","Aberta")</f>
        <v/>
      </c>
    </row>
    <row r="15" ht="20" customHeight="1">
      <c r="A15" s="8" t="n"/>
      <c r="B15" s="8" t="n"/>
      <c r="C15" s="6" t="n"/>
      <c r="D15" s="6" t="n"/>
      <c r="E15" s="5">
        <f>IF(C15&lt;&gt;"",C15*D15,"")</f>
        <v/>
      </c>
      <c r="F15" s="8" t="n"/>
      <c r="G15" s="5" t="n"/>
      <c r="H15" s="5">
        <f>IF(G15&lt;&gt;"",G15*D15,"")</f>
        <v/>
      </c>
      <c r="I15" s="5">
        <f>IF(H15&lt;&gt;"",H15-E15,"")</f>
        <v/>
      </c>
      <c r="J15" s="7">
        <f>IF(AND(H15&lt;&gt;"",E15&lt;&gt;0),(H15-E15)/E15,"")</f>
        <v/>
      </c>
      <c r="K15" s="8">
        <f>IF(F15&lt;&gt;"","Fechada","Aberta")</f>
        <v/>
      </c>
    </row>
    <row r="16" ht="20" customHeight="1">
      <c r="A16" s="14" t="n"/>
      <c r="B16" s="14" t="n"/>
      <c r="C16" s="12" t="n"/>
      <c r="D16" s="12" t="n"/>
      <c r="E16" s="11">
        <f>IF(C16&lt;&gt;"",C16*D16,"")</f>
        <v/>
      </c>
      <c r="F16" s="14" t="n"/>
      <c r="G16" s="11" t="n"/>
      <c r="H16" s="11">
        <f>IF(G16&lt;&gt;"",G16*D16,"")</f>
        <v/>
      </c>
      <c r="I16" s="11">
        <f>IF(H16&lt;&gt;"",H16-E16,"")</f>
        <v/>
      </c>
      <c r="J16" s="13">
        <f>IF(AND(H16&lt;&gt;"",E16&lt;&gt;0),(H16-E16)/E16,"")</f>
        <v/>
      </c>
      <c r="K16" s="14">
        <f>IF(F16&lt;&gt;"","Fechada","Aberta")</f>
        <v/>
      </c>
    </row>
    <row r="17" ht="20" customHeight="1">
      <c r="A17" s="8" t="n"/>
      <c r="B17" s="8" t="n"/>
      <c r="C17" s="6" t="n"/>
      <c r="D17" s="6" t="n"/>
      <c r="E17" s="5">
        <f>IF(C17&lt;&gt;"",C17*D17,"")</f>
        <v/>
      </c>
      <c r="F17" s="8" t="n"/>
      <c r="G17" s="5" t="n"/>
      <c r="H17" s="5">
        <f>IF(G17&lt;&gt;"",G17*D17,"")</f>
        <v/>
      </c>
      <c r="I17" s="5">
        <f>IF(H17&lt;&gt;"",H17-E17,"")</f>
        <v/>
      </c>
      <c r="J17" s="7">
        <f>IF(AND(H17&lt;&gt;"",E17&lt;&gt;0),(H17-E17)/E17,"")</f>
        <v/>
      </c>
      <c r="K17" s="8">
        <f>IF(F17&lt;&gt;"","Fechada","Aberta")</f>
        <v/>
      </c>
    </row>
    <row r="18" ht="20" customHeight="1">
      <c r="A18" s="14" t="n"/>
      <c r="B18" s="14" t="n"/>
      <c r="C18" s="12" t="n"/>
      <c r="D18" s="12" t="n"/>
      <c r="E18" s="11">
        <f>IF(C18&lt;&gt;"",C18*D18,"")</f>
        <v/>
      </c>
      <c r="F18" s="14" t="n"/>
      <c r="G18" s="11" t="n"/>
      <c r="H18" s="11">
        <f>IF(G18&lt;&gt;"",G18*D18,"")</f>
        <v/>
      </c>
      <c r="I18" s="11">
        <f>IF(H18&lt;&gt;"",H18-E18,"")</f>
        <v/>
      </c>
      <c r="J18" s="13">
        <f>IF(AND(H18&lt;&gt;"",E18&lt;&gt;0),(H18-E18)/E18,"")</f>
        <v/>
      </c>
      <c r="K18" s="14">
        <f>IF(F18&lt;&gt;"","Fechada","Aberta")</f>
        <v/>
      </c>
    </row>
    <row r="19" ht="20" customHeight="1">
      <c r="A19" s="8" t="n"/>
      <c r="B19" s="8" t="n"/>
      <c r="C19" s="6" t="n"/>
      <c r="D19" s="6" t="n"/>
      <c r="E19" s="5">
        <f>IF(C19&lt;&gt;"",C19*D19,"")</f>
        <v/>
      </c>
      <c r="F19" s="8" t="n"/>
      <c r="G19" s="5" t="n"/>
      <c r="H19" s="5">
        <f>IF(G19&lt;&gt;"",G19*D19,"")</f>
        <v/>
      </c>
      <c r="I19" s="5">
        <f>IF(H19&lt;&gt;"",H19-E19,"")</f>
        <v/>
      </c>
      <c r="J19" s="7">
        <f>IF(AND(H19&lt;&gt;"",E19&lt;&gt;0),(H19-E19)/E19,"")</f>
        <v/>
      </c>
      <c r="K19" s="8">
        <f>IF(F19&lt;&gt;"","Fechada","Aberta")</f>
        <v/>
      </c>
    </row>
    <row r="20" ht="20" customHeight="1">
      <c r="A20" s="14" t="n"/>
      <c r="B20" s="14" t="n"/>
      <c r="C20" s="12" t="n"/>
      <c r="D20" s="12" t="n"/>
      <c r="E20" s="11">
        <f>IF(C20&lt;&gt;"",C20*D20,"")</f>
        <v/>
      </c>
      <c r="F20" s="14" t="n"/>
      <c r="G20" s="11" t="n"/>
      <c r="H20" s="11">
        <f>IF(G20&lt;&gt;"",G20*D20,"")</f>
        <v/>
      </c>
      <c r="I20" s="11">
        <f>IF(H20&lt;&gt;"",H20-E20,"")</f>
        <v/>
      </c>
      <c r="J20" s="13">
        <f>IF(AND(H20&lt;&gt;"",E20&lt;&gt;0),(H20-E20)/E20,"")</f>
        <v/>
      </c>
      <c r="K20" s="14">
        <f>IF(F20&lt;&gt;"","Fechada","Aberta")</f>
        <v/>
      </c>
    </row>
    <row r="21" ht="20" customHeight="1">
      <c r="A21" s="8" t="n"/>
      <c r="B21" s="8" t="n"/>
      <c r="C21" s="6" t="n"/>
      <c r="D21" s="6" t="n"/>
      <c r="E21" s="5">
        <f>IF(C21&lt;&gt;"",C21*D21,"")</f>
        <v/>
      </c>
      <c r="F21" s="8" t="n"/>
      <c r="G21" s="5" t="n"/>
      <c r="H21" s="5">
        <f>IF(G21&lt;&gt;"",G21*D21,"")</f>
        <v/>
      </c>
      <c r="I21" s="5">
        <f>IF(H21&lt;&gt;"",H21-E21,"")</f>
        <v/>
      </c>
      <c r="J21" s="7">
        <f>IF(AND(H21&lt;&gt;"",E21&lt;&gt;0),(H21-E21)/E21,"")</f>
        <v/>
      </c>
      <c r="K21" s="8">
        <f>IF(F21&lt;&gt;"","Fechada","Aberta")</f>
        <v/>
      </c>
    </row>
    <row r="22" ht="20" customHeight="1">
      <c r="A22" s="14" t="n"/>
      <c r="B22" s="14" t="n"/>
      <c r="C22" s="12" t="n"/>
      <c r="D22" s="12" t="n"/>
      <c r="E22" s="11">
        <f>IF(C22&lt;&gt;"",C22*D22,"")</f>
        <v/>
      </c>
      <c r="F22" s="14" t="n"/>
      <c r="G22" s="11" t="n"/>
      <c r="H22" s="11">
        <f>IF(G22&lt;&gt;"",G22*D22,"")</f>
        <v/>
      </c>
      <c r="I22" s="11">
        <f>IF(H22&lt;&gt;"",H22-E22,"")</f>
        <v/>
      </c>
      <c r="J22" s="13">
        <f>IF(AND(H22&lt;&gt;"",E22&lt;&gt;0),(H22-E22)/E22,"")</f>
        <v/>
      </c>
      <c r="K22" s="14">
        <f>IF(F22&lt;&gt;"","Fechada","Aberta")</f>
        <v/>
      </c>
    </row>
    <row r="24" ht="24" customHeight="1">
      <c r="A24" s="15" t="inlineStr">
        <is>
          <t>RESULTADO POR DATA DE COMPRA</t>
        </is>
      </c>
    </row>
    <row r="25" ht="22" customHeight="1">
      <c r="A25" s="16" t="n"/>
      <c r="B25" s="2" t="inlineStr">
        <is>
          <t>DATA COMPRA</t>
        </is>
      </c>
      <c r="C25" s="16" t="n"/>
      <c r="D25" s="16" t="n"/>
      <c r="E25" s="2" t="inlineStr">
        <is>
          <t>TOTAL INVEST.</t>
        </is>
      </c>
      <c r="F25" s="16" t="n"/>
      <c r="G25" s="16" t="n"/>
      <c r="H25" s="2" t="inlineStr">
        <is>
          <t>TOTAL VENDA</t>
        </is>
      </c>
      <c r="I25" s="2" t="inlineStr">
        <is>
          <t>RESULTADO R$</t>
        </is>
      </c>
      <c r="J25" s="2" t="inlineStr">
        <is>
          <t>RESULTADO %</t>
        </is>
      </c>
      <c r="K25" s="16" t="n"/>
    </row>
    <row r="26" ht="20" customHeight="1">
      <c r="A26" s="17" t="n"/>
      <c r="B26" s="9" t="inlineStr">
        <is>
          <t>15/01/2026</t>
        </is>
      </c>
      <c r="C26" s="17" t="n"/>
      <c r="D26" s="17" t="n"/>
      <c r="E26" s="18">
        <f>SUMPRODUCT((TEXT(B3:B22,"DD/MM/YYYY")="15/01/2026")*IFERROR(E3:E22,0))</f>
        <v/>
      </c>
      <c r="F26" s="17" t="n"/>
      <c r="G26" s="17" t="n"/>
      <c r="H26" s="11">
        <f>SUMPRODUCT((TEXT(B3:B22,"DD/MM/YYYY")="15/01/2026")*IFERROR(H3:H22,0))</f>
        <v/>
      </c>
      <c r="I26" s="19">
        <f>IF(H26&lt;&gt;0,H26-E26,"")</f>
        <v/>
      </c>
      <c r="J26" s="20">
        <f>IF(AND(I26&lt;&gt;"",E26&lt;&gt;0),I26/E26,"")</f>
        <v/>
      </c>
      <c r="K26" s="17" t="n"/>
    </row>
    <row r="27" ht="20" customHeight="1">
      <c r="A27" s="21" t="n"/>
      <c r="B27" s="3" t="inlineStr">
        <is>
          <t>10/02/2026</t>
        </is>
      </c>
      <c r="C27" s="21" t="n"/>
      <c r="D27" s="21" t="n"/>
      <c r="E27" s="22">
        <f>SUMPRODUCT((TEXT(B3:B22,"DD/MM/YYYY")="10/02/2026")*IFERROR(E3:E22,0))</f>
        <v/>
      </c>
      <c r="F27" s="21" t="n"/>
      <c r="G27" s="21" t="n"/>
      <c r="H27" s="5">
        <f>SUMPRODUCT((TEXT(B3:B22,"DD/MM/YYYY")="10/02/2026")*IFERROR(H3:H22,0))</f>
        <v/>
      </c>
      <c r="I27" s="23">
        <f>IF(H27&lt;&gt;0,H27-E27,"")</f>
        <v/>
      </c>
      <c r="J27" s="24">
        <f>IF(AND(I27&lt;&gt;"",E27&lt;&gt;0),I27/E27,"")</f>
        <v/>
      </c>
      <c r="K27" s="21" t="n"/>
    </row>
    <row r="28" ht="20" customHeight="1">
      <c r="A28" s="17" t="n"/>
      <c r="B28" s="9" t="inlineStr">
        <is>
          <t>01/03/2026</t>
        </is>
      </c>
      <c r="C28" s="17" t="n"/>
      <c r="D28" s="17" t="n"/>
      <c r="E28" s="18">
        <f>SUMPRODUCT((TEXT(B3:B22,"DD/MM/YYYY")="01/03/2026")*IFERROR(E3:E22,0))</f>
        <v/>
      </c>
      <c r="F28" s="17" t="n"/>
      <c r="G28" s="17" t="n"/>
      <c r="H28" s="11">
        <f>SUMPRODUCT((TEXT(B3:B22,"DD/MM/YYYY")="01/03/2026")*IFERROR(H3:H22,0))</f>
        <v/>
      </c>
      <c r="I28" s="19">
        <f>IF(H28&lt;&gt;0,H28-E28,"")</f>
        <v/>
      </c>
      <c r="J28" s="20">
        <f>IF(AND(I28&lt;&gt;"",E28&lt;&gt;0),I28/E28,"")</f>
        <v/>
      </c>
      <c r="K28" s="17" t="n"/>
    </row>
    <row r="29" ht="24" customHeight="1">
      <c r="A29" s="25" t="inlineStr">
        <is>
          <t>MEDIA POR DATA</t>
        </is>
      </c>
      <c r="B29" s="26" t="n"/>
      <c r="D29" s="26" t="n"/>
      <c r="E29" s="27">
        <f>AVERAGE(E26,E27,E28)</f>
        <v/>
      </c>
      <c r="F29" s="26" t="n"/>
      <c r="G29" s="26" t="n"/>
      <c r="H29" s="26" t="n"/>
      <c r="I29" s="27">
        <f>IFERROR(AVERAGEIF(I26,I27,I28,"&lt;&gt;"""),"")</f>
        <v/>
      </c>
      <c r="J29" s="28">
        <f>IFERROR(AVERAGEIF(J26,J27,J28,"&lt;&gt;"""),"")</f>
        <v/>
      </c>
      <c r="K29" s="26" t="n"/>
    </row>
    <row r="31" ht="24" customHeight="1">
      <c r="A31" s="15" t="inlineStr">
        <is>
          <t>TOTAIS GERAIS</t>
        </is>
      </c>
    </row>
    <row r="32" ht="24" customHeight="1">
      <c r="A32" s="29" t="inlineStr">
        <is>
          <t>Total Investido:</t>
        </is>
      </c>
      <c r="I32" s="30">
        <f>SUMPRODUCT((C3:C22&lt;&gt;"")*IFERROR(E3:E22,0))</f>
        <v/>
      </c>
      <c r="J32" s="31" t="n"/>
      <c r="K32" s="31" t="n"/>
    </row>
    <row r="33" ht="24" customHeight="1">
      <c r="A33" s="32" t="inlineStr">
        <is>
          <t>Total Lucro (operacoes positivas):</t>
        </is>
      </c>
      <c r="I33" s="33">
        <f>SUMPRODUCT((IFERROR(I3:I22,0)&gt;0)*IFERROR(I3:I22,0))</f>
        <v/>
      </c>
      <c r="J33" s="31" t="n"/>
      <c r="K33" s="31" t="n"/>
    </row>
    <row r="34" ht="24" customHeight="1">
      <c r="A34" s="34" t="inlineStr">
        <is>
          <t>Total Perda (operacoes negativas):</t>
        </is>
      </c>
      <c r="I34" s="35">
        <f>SUMPRODUCT((IFERROR(I3:I22,0)&lt;0)*IFERROR(I3:I22,0))</f>
        <v/>
      </c>
      <c r="J34" s="31" t="n"/>
      <c r="K34" s="31" t="n"/>
    </row>
    <row r="35" ht="24" customHeight="1">
      <c r="A35" s="36" t="inlineStr">
        <is>
          <t>Resultado Liquido:</t>
        </is>
      </c>
      <c r="I35" s="37">
        <f>SUMPRODUCT(IFERROR(I3:I22,0))</f>
        <v/>
      </c>
      <c r="J35" s="31" t="n"/>
      <c r="K35" s="31" t="n"/>
    </row>
    <row r="36" ht="24" customHeight="1">
      <c r="A36" s="36" t="inlineStr">
        <is>
          <t>Retorno Total %:</t>
        </is>
      </c>
      <c r="I36" s="38">
        <f>IFERROR(I35/I32,"")</f>
        <v/>
      </c>
      <c r="J36" s="31" t="n"/>
      <c r="K36" s="31" t="n"/>
    </row>
  </sheetData>
  <mergeCells count="9">
    <mergeCell ref="A34:H34"/>
    <mergeCell ref="A35:H35"/>
    <mergeCell ref="A1:L1"/>
    <mergeCell ref="A24:K24"/>
    <mergeCell ref="A29:D29"/>
    <mergeCell ref="A33:H33"/>
    <mergeCell ref="A36:H36"/>
    <mergeCell ref="A32:H32"/>
    <mergeCell ref="A31:K31"/>
  </mergeCells>
  <conditionalFormatting sqref="I3:I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3:J2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6:I2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6:J2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3:K22">
    <cfRule type="expression" priority="9" dxfId="2">
      <formula>=K3="Fechada"</formula>
    </cfRule>
    <cfRule type="expression" priority="10" dxfId="0">
      <formula>=K3="Aberta"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2026-06-18T18:47:04Z</dcterms:created>
  <dcterms:modified xmlns:dcterms="http://purl.org/dc/terms/" xmlns:xsi="http://www.w3.org/2001/XMLSchema-instance" xsi:type="dcterms:W3CDTF">2026-06-18T18:47:04Z</dcterms:modified>
</cp:coreProperties>
</file>